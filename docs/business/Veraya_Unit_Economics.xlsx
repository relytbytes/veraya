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Fleet &amp; Scaling" sheetId="2" state="visible" r:id="rId2"/>
    <sheet name="Assumptions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color rgb="00555555"/>
      <sz val="9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0C1A1E"/>
      </patternFill>
    </fill>
    <fill>
      <patternFill patternType="solid">
        <fgColor rgb="0021A090"/>
      </patternFill>
    </fill>
    <fill>
      <patternFill patternType="solid">
        <fgColor rgb="00FFF3B0"/>
      </patternFill>
    </fill>
    <fill>
      <patternFill patternType="solid">
        <fgColor rgb="00E8F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4" fillId="0" borderId="0" pivotButton="0" quotePrefix="0" xfId="0"/>
    <xf numFmtId="3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0" fontId="5" fillId="4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165" fontId="5" fillId="4" borderId="0" applyAlignment="1" pivotButton="0" quotePrefix="0" xfId="0">
      <alignment horizontal="right"/>
    </xf>
    <xf numFmtId="0" fontId="6" fillId="0" borderId="0" pivotButton="0" quotePrefix="0" xfId="0"/>
    <xf numFmtId="164" fontId="4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6" fillId="5" borderId="0" pivotButton="0" quotePrefix="0" xfId="0"/>
    <xf numFmtId="0" fontId="6" fillId="5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6" fillId="5" borderId="0" applyAlignment="1" pivotButton="0" quotePrefix="0" xfId="0">
      <alignment horizontal="left"/>
    </xf>
    <xf numFmtId="3" fontId="5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right"/>
    </xf>
    <xf numFmtId="10" fontId="8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3" customWidth="1" min="5" max="5"/>
    <col width="40" customWidth="1" min="6" max="6"/>
  </cols>
  <sheetData>
    <row r="1" ht="26" customHeight="1">
      <c r="A1" s="1" t="inlineStr">
        <is>
          <t>Veraya — Payments &amp; SaaS Unit Economics</t>
        </is>
      </c>
    </row>
    <row r="2">
      <c r="A2" s="2" t="inlineStr">
        <is>
          <t>Change the BLUE inputs; everything recalculates. YELLOW cells are the key assumptions to revisit. Defaults model a solid independent (~$1.5M/yr).</t>
        </is>
      </c>
    </row>
    <row r="4">
      <c r="A4" s="3" t="inlineStr">
        <is>
          <t>INPUTS — the operator &amp; your pricing</t>
        </is>
      </c>
    </row>
    <row r="5">
      <c r="A5" s="4" t="inlineStr">
        <is>
          <t>Restaurants (live instances)</t>
        </is>
      </c>
      <c r="B5" s="5" t="n">
        <v>10</v>
      </c>
    </row>
    <row r="6">
      <c r="A6" s="4" t="inlineStr">
        <is>
          <t>Avg card volume / restaurant ($/mo)</t>
        </is>
      </c>
      <c r="B6" s="6" t="n">
        <v>120000</v>
      </c>
    </row>
    <row r="7">
      <c r="A7" s="4" t="inlineStr">
        <is>
          <t>Avg ticket / check ($)</t>
        </is>
      </c>
      <c r="B7" s="6" t="n">
        <v>55</v>
      </c>
    </row>
    <row r="8">
      <c r="A8" s="4" t="inlineStr">
        <is>
          <t>→ Transactions / restaurant / mo</t>
        </is>
      </c>
      <c r="B8" s="7">
        <f>B6/B7</f>
        <v/>
      </c>
    </row>
    <row r="10">
      <c r="A10" s="4" t="inlineStr">
        <is>
          <t>SaaS price — base, Models A &amp; B ($/mo)</t>
        </is>
      </c>
      <c r="B10" s="6" t="n">
        <v>349</v>
      </c>
    </row>
    <row r="11">
      <c r="A11" s="4" t="inlineStr">
        <is>
          <t>SaaS price — membership, Model C ($/mo)</t>
        </is>
      </c>
      <c r="B11" s="6" t="n">
        <v>549</v>
      </c>
    </row>
    <row r="12">
      <c r="A12" s="4" t="inlineStr">
        <is>
          <t>Infra cost / restaurant ($/mo)</t>
        </is>
      </c>
      <c r="B12" s="6" t="n">
        <v>40</v>
      </c>
    </row>
    <row r="14">
      <c r="A14" s="3" t="inlineStr">
        <is>
          <t>YOUR PROCESSING COST  (what the rails/payfac charge YOU, incl. interchange)</t>
        </is>
      </c>
    </row>
    <row r="15">
      <c r="A15" s="4" t="inlineStr">
        <is>
          <t>Processing cost — rate (% of volume)</t>
        </is>
      </c>
      <c r="B15" s="8" t="n">
        <v>0.021</v>
      </c>
      <c r="F15" s="9" t="inlineStr">
        <is>
          <t>Interchange-plus basis (~2.1%). On vanilla Stripe flat (~2.7%+$0.05) you can't beat Square — the savings story REQUIRES volume interchange-plus.</t>
        </is>
      </c>
    </row>
    <row r="16">
      <c r="A16" s="4" t="inlineStr">
        <is>
          <t>Processing cost — per transaction ($)</t>
        </is>
      </c>
      <c r="B16" s="10" t="n">
        <v>0.08</v>
      </c>
    </row>
    <row r="17">
      <c r="A17" s="11" t="inlineStr">
        <is>
          <t>→ Your processing cost / restaurant ($/mo)</t>
        </is>
      </c>
      <c r="B17" s="12">
        <f>B15*B6+B16*B8</f>
        <v/>
      </c>
    </row>
    <row r="19">
      <c r="A19" s="3" t="inlineStr">
        <is>
          <t>MERCHANT PRICING MODELS — what YOU charge the restaurant</t>
        </is>
      </c>
    </row>
    <row r="20">
      <c r="A20" s="4" t="inlineStr"/>
      <c r="B20" s="13" t="inlineStr">
        <is>
          <t>Rate (%)</t>
        </is>
      </c>
      <c r="C20" s="13" t="inlineStr">
        <is>
          <t>Per txn ($)</t>
        </is>
      </c>
    </row>
    <row r="21">
      <c r="A21" s="4" t="inlineStr">
        <is>
          <t>Model A — Flat % (Square / Toast style)</t>
        </is>
      </c>
      <c r="B21" s="8" t="n">
        <v>0.026</v>
      </c>
      <c r="C21" s="10" t="n">
        <v>0.15</v>
      </c>
      <c r="F21" s="9" t="inlineStr">
        <is>
          <t>A: you behave like Square — most revenue, least on-brand.</t>
        </is>
      </c>
    </row>
    <row r="22">
      <c r="A22" s="4" t="inlineStr">
        <is>
          <t>Model B — Interchange-plus markup (thin)</t>
        </is>
      </c>
      <c r="B22" s="8" t="n">
        <v>0.0015</v>
      </c>
      <c r="C22" s="10" t="n">
        <v>0.05</v>
      </c>
      <c r="F22" s="9" t="inlineStr">
        <is>
          <t>B: cost + thin markup — fair, transparent, still beats Square.</t>
        </is>
      </c>
    </row>
    <row r="23">
      <c r="A23" s="4" t="inlineStr">
        <is>
          <t>Model C — Membership (0% markup)</t>
        </is>
      </c>
      <c r="B23" s="8" t="n">
        <v>0</v>
      </c>
      <c r="C23" s="10" t="n">
        <v>0</v>
      </c>
      <c r="F23" s="9" t="inlineStr">
        <is>
          <t>C: process at cost, earn on a higher SaaS tier — 'we don't tax sales.'</t>
        </is>
      </c>
    </row>
    <row r="25">
      <c r="A25" s="3" t="inlineStr">
        <is>
          <t>PER-RESTAURANT ECONOMICS  (monthly)</t>
        </is>
      </c>
    </row>
    <row r="26">
      <c r="A26" s="14" t="inlineStr">
        <is>
          <t>Metric</t>
        </is>
      </c>
      <c r="B26" s="15" t="inlineStr">
        <is>
          <t>A: Flat %</t>
        </is>
      </c>
      <c r="C26" s="15" t="inlineStr">
        <is>
          <t>B: Intchg-plus</t>
        </is>
      </c>
      <c r="D26" s="15" t="inlineStr">
        <is>
          <t>C: Membership</t>
        </is>
      </c>
    </row>
    <row r="27">
      <c r="A27" s="4" t="inlineStr">
        <is>
          <t>Merchant pays — processing ($/mo)</t>
        </is>
      </c>
      <c r="B27" s="12">
        <f>B21*$B$6+C21*$B$8</f>
        <v/>
      </c>
      <c r="C27" s="12">
        <f>$B$17+(B22*$B$6+C22*$B$8)</f>
        <v/>
      </c>
      <c r="D27" s="12">
        <f>$B$17+(B23*$B$6+C23*$B$8)</f>
        <v/>
      </c>
    </row>
    <row r="28">
      <c r="A28" s="4" t="inlineStr">
        <is>
          <t>Merchant effective rate (%)</t>
        </is>
      </c>
      <c r="B28" s="16">
        <f>B27/$B$6</f>
        <v/>
      </c>
      <c r="C28" s="16">
        <f>C27/$B$6</f>
        <v/>
      </c>
      <c r="D28" s="16">
        <f>D27/$B$6</f>
        <v/>
      </c>
    </row>
    <row r="29">
      <c r="A29" s="4" t="inlineStr">
        <is>
          <t>Your PAYMENTS revenue ($/mo)</t>
        </is>
      </c>
      <c r="B29" s="12">
        <f>B27-$B$17</f>
        <v/>
      </c>
      <c r="C29" s="12">
        <f>C27-$B$17</f>
        <v/>
      </c>
      <c r="D29" s="12">
        <f>D27-$B$17</f>
        <v/>
      </c>
    </row>
    <row r="30">
      <c r="A30" s="4" t="inlineStr">
        <is>
          <t>Your SaaS revenue ($/mo)</t>
        </is>
      </c>
      <c r="B30" s="12">
        <f>$B$10</f>
        <v/>
      </c>
      <c r="C30" s="12">
        <f>$B$10</f>
        <v/>
      </c>
      <c r="D30" s="12">
        <f>$B$11</f>
        <v/>
      </c>
    </row>
    <row r="31">
      <c r="A31" s="11" t="inlineStr">
        <is>
          <t>Your TOTAL revenue ($/mo)</t>
        </is>
      </c>
      <c r="B31" s="17">
        <f>B29+B30</f>
        <v/>
      </c>
      <c r="C31" s="17">
        <f>C29+C30</f>
        <v/>
      </c>
      <c r="D31" s="17">
        <f>D29+D30</f>
        <v/>
      </c>
    </row>
    <row r="32">
      <c r="A32" s="4" t="inlineStr">
        <is>
          <t>Your contribution after infra ($/mo)</t>
        </is>
      </c>
      <c r="B32" s="12">
        <f>B31-$B$12</f>
        <v/>
      </c>
      <c r="C32" s="12">
        <f>C31-$B$12</f>
        <v/>
      </c>
      <c r="D32" s="12">
        <f>D31-$B$12</f>
        <v/>
      </c>
    </row>
    <row r="34">
      <c r="A34" s="3" t="inlineStr">
        <is>
          <t>PER-RESTAURANT  (annual)  &amp;  FLEET</t>
        </is>
      </c>
    </row>
    <row r="35">
      <c r="A35" s="11" t="inlineStr">
        <is>
          <t>Your total revenue / restaurant ($/yr)</t>
        </is>
      </c>
      <c r="B35" s="17">
        <f>B31*12</f>
        <v/>
      </c>
      <c r="C35" s="17">
        <f>C31*12</f>
        <v/>
      </c>
      <c r="D35" s="17">
        <f>D31*12</f>
        <v/>
      </c>
    </row>
    <row r="36">
      <c r="A36" s="11" t="inlineStr">
        <is>
          <t>Fleet total revenue — × restaurants ($/yr)</t>
        </is>
      </c>
      <c r="B36" s="17">
        <f>B35*$B$5</f>
        <v/>
      </c>
      <c r="C36" s="17">
        <f>C35*$B$5</f>
        <v/>
      </c>
      <c r="D36" s="17">
        <f>D35*$B$5</f>
        <v/>
      </c>
    </row>
    <row r="37">
      <c r="A37" s="4" t="inlineStr">
        <is>
          <t>Fleet contribution after infra ($/yr)</t>
        </is>
      </c>
      <c r="B37" s="12">
        <f>B32*12*$B$5</f>
        <v/>
      </c>
      <c r="C37" s="12">
        <f>C32*12*$B$5</f>
        <v/>
      </c>
      <c r="D37" s="12">
        <f>D32*12*$B$5</f>
        <v/>
      </c>
    </row>
    <row r="39">
      <c r="A39" s="3" t="inlineStr">
        <is>
          <t>MERCHANT VIEW  (the sales pitch)</t>
        </is>
      </c>
    </row>
    <row r="40">
      <c r="A40" s="4" t="inlineStr">
        <is>
          <t>Merchant all-in to Veraya — proc.+SaaS ($/mo)</t>
        </is>
      </c>
      <c r="B40" s="12">
        <f>B27+B30</f>
        <v/>
      </c>
      <c r="C40" s="12">
        <f>C27+C30</f>
        <v/>
      </c>
      <c r="D40" s="12">
        <f>D27+D30</f>
        <v/>
      </c>
    </row>
    <row r="41">
      <c r="A41" s="4" t="inlineStr">
        <is>
          <t>Merchant processing savings vs Square ($/mo)</t>
        </is>
      </c>
      <c r="B41" s="12">
        <f>$B$27-B27</f>
        <v/>
      </c>
      <c r="C41" s="12">
        <f>$B$27-C27</f>
        <v/>
      </c>
      <c r="D41" s="12">
        <f>$B$27-D27</f>
        <v/>
      </c>
    </row>
    <row r="42">
      <c r="A42" s="4" t="inlineStr">
        <is>
          <t>Merchant processing savings vs Square ($/yr)</t>
        </is>
      </c>
      <c r="B42" s="12">
        <f>B41*12</f>
        <v/>
      </c>
      <c r="C42" s="12">
        <f>C41*12</f>
        <v/>
      </c>
      <c r="D42" s="12">
        <f>D41*12</f>
        <v/>
      </c>
    </row>
    <row r="44">
      <c r="A44" s="3" t="inlineStr">
        <is>
          <t>PER AVERAGE CHECK  (at avg ticket — the whiteboard example)</t>
        </is>
      </c>
    </row>
    <row r="45">
      <c r="A45" s="4" t="inlineStr">
        <is>
          <t>Merchant pays per check ($)</t>
        </is>
      </c>
      <c r="B45" s="18">
        <f>B21*$B$7+C21</f>
        <v/>
      </c>
      <c r="C45" s="18">
        <f>($B$15*$B$7+$B$16)+(B22*$B$7+C22)</f>
        <v/>
      </c>
      <c r="D45" s="18">
        <f>($B$15*$B$7+$B$16)+(B23*$B$7+C23)</f>
        <v/>
      </c>
    </row>
    <row r="46">
      <c r="A46" s="4" t="inlineStr">
        <is>
          <t>Effective rate per check (%)</t>
        </is>
      </c>
      <c r="B46" s="16">
        <f>B45/$B$7</f>
        <v/>
      </c>
      <c r="C46" s="16">
        <f>C45/$B$7</f>
        <v/>
      </c>
      <c r="D46" s="16">
        <f>D45/$B$7</f>
        <v/>
      </c>
    </row>
    <row r="47">
      <c r="A47" s="4" t="inlineStr">
        <is>
          <t>Saved per check vs Square ($)</t>
        </is>
      </c>
      <c r="B47" s="18">
        <f>$B$45-B45</f>
        <v/>
      </c>
      <c r="C47" s="18">
        <f>$B$45-C45</f>
        <v/>
      </c>
      <c r="D47" s="18">
        <f>$B$45-D45</f>
        <v/>
      </c>
    </row>
  </sheetData>
  <mergeCells count="9">
    <mergeCell ref="A1:D1"/>
    <mergeCell ref="A34:D34"/>
    <mergeCell ref="A4:D4"/>
    <mergeCell ref="A39:D39"/>
    <mergeCell ref="A25:D25"/>
    <mergeCell ref="A19:D19"/>
    <mergeCell ref="A2:D2"/>
    <mergeCell ref="A14:D14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Fleet &amp; Scaling Ramp</t>
        </is>
      </c>
    </row>
    <row r="3">
      <c r="A3" s="3" t="inlineStr">
        <is>
          <t>RAMP — recommended model: B (interchange-plus). Per-unit economics pulled from the Model sheet.</t>
        </is>
      </c>
    </row>
    <row r="4">
      <c r="A4" s="19" t="inlineStr">
        <is>
          <t>Restaurants</t>
        </is>
      </c>
      <c r="B4" s="15" t="inlineStr">
        <is>
          <t>SaaS rev ($/yr)</t>
        </is>
      </c>
      <c r="C4" s="15" t="inlineStr">
        <is>
          <t>Payments rev ($/yr)</t>
        </is>
      </c>
      <c r="D4" s="15" t="inlineStr">
        <is>
          <t>Total rev ($/yr)</t>
        </is>
      </c>
      <c r="E4" s="15" t="inlineStr">
        <is>
          <t>Contribution ($/yr)</t>
        </is>
      </c>
    </row>
    <row r="5">
      <c r="A5" s="20" t="n">
        <v>1</v>
      </c>
      <c r="B5" s="21">
        <f>A5*Model!$C$30*12</f>
        <v/>
      </c>
      <c r="C5" s="21">
        <f>A5*Model!$C$29*12</f>
        <v/>
      </c>
      <c r="D5" s="21">
        <f>A5*Model!$C$35</f>
        <v/>
      </c>
      <c r="E5" s="21">
        <f>A5*Model!$C$32*12</f>
        <v/>
      </c>
    </row>
    <row r="6">
      <c r="A6" s="20" t="n">
        <v>3</v>
      </c>
      <c r="B6" s="21">
        <f>A6*Model!$C$30*12</f>
        <v/>
      </c>
      <c r="C6" s="21">
        <f>A6*Model!$C$29*12</f>
        <v/>
      </c>
      <c r="D6" s="21">
        <f>A6*Model!$C$35</f>
        <v/>
      </c>
      <c r="E6" s="21">
        <f>A6*Model!$C$32*12</f>
        <v/>
      </c>
    </row>
    <row r="7">
      <c r="A7" s="20" t="n">
        <v>5</v>
      </c>
      <c r="B7" s="21">
        <f>A7*Model!$C$30*12</f>
        <v/>
      </c>
      <c r="C7" s="21">
        <f>A7*Model!$C$29*12</f>
        <v/>
      </c>
      <c r="D7" s="21">
        <f>A7*Model!$C$35</f>
        <v/>
      </c>
      <c r="E7" s="21">
        <f>A7*Model!$C$32*12</f>
        <v/>
      </c>
    </row>
    <row r="8">
      <c r="A8" s="20" t="n">
        <v>10</v>
      </c>
      <c r="B8" s="21">
        <f>A8*Model!$C$30*12</f>
        <v/>
      </c>
      <c r="C8" s="21">
        <f>A8*Model!$C$29*12</f>
        <v/>
      </c>
      <c r="D8" s="21">
        <f>A8*Model!$C$35</f>
        <v/>
      </c>
      <c r="E8" s="21">
        <f>A8*Model!$C$32*12</f>
        <v/>
      </c>
    </row>
    <row r="9">
      <c r="A9" s="20" t="n">
        <v>15</v>
      </c>
      <c r="B9" s="21">
        <f>A9*Model!$C$30*12</f>
        <v/>
      </c>
      <c r="C9" s="21">
        <f>A9*Model!$C$29*12</f>
        <v/>
      </c>
      <c r="D9" s="21">
        <f>A9*Model!$C$35</f>
        <v/>
      </c>
      <c r="E9" s="21">
        <f>A9*Model!$C$32*12</f>
        <v/>
      </c>
    </row>
    <row r="10">
      <c r="A10" s="20" t="n">
        <v>20</v>
      </c>
      <c r="B10" s="21">
        <f>A10*Model!$C$30*12</f>
        <v/>
      </c>
      <c r="C10" s="21">
        <f>A10*Model!$C$29*12</f>
        <v/>
      </c>
      <c r="D10" s="21">
        <f>A10*Model!$C$35</f>
        <v/>
      </c>
      <c r="E10" s="21">
        <f>A10*Model!$C$32*12</f>
        <v/>
      </c>
    </row>
    <row r="12">
      <c r="A12" s="9" t="inlineStr">
        <is>
          <t>Solo + AI operating ceiling ≈ 15–20 live instances before support/ops needs a hire.</t>
        </is>
      </c>
    </row>
    <row r="14">
      <c r="A14" s="3" t="inlineStr">
        <is>
          <t>ALL THREE MODELS at current inputs (fleet, $/yr)</t>
        </is>
      </c>
    </row>
    <row r="15">
      <c r="A15" s="14" t="inlineStr">
        <is>
          <t>Model</t>
        </is>
      </c>
      <c r="B15" s="15" t="inlineStr">
        <is>
          <t>A: Flat %</t>
        </is>
      </c>
      <c r="C15" s="15" t="inlineStr">
        <is>
          <t>B: Intchg-plus</t>
        </is>
      </c>
      <c r="D15" s="15" t="inlineStr">
        <is>
          <t>C: Membership</t>
        </is>
      </c>
    </row>
    <row r="16">
      <c r="A16" s="4" t="inlineStr">
        <is>
          <t>Fleet total revenue ($/yr)</t>
        </is>
      </c>
      <c r="B16" s="21">
        <f>Model!B36</f>
        <v/>
      </c>
      <c r="C16" s="21">
        <f>Model!C36</f>
        <v/>
      </c>
      <c r="D16" s="21">
        <f>Model!D36</f>
        <v/>
      </c>
    </row>
    <row r="17">
      <c r="A17" s="4" t="inlineStr">
        <is>
          <t>Fleet contribution ($/yr)</t>
        </is>
      </c>
      <c r="B17" s="21">
        <f>Model!B37</f>
        <v/>
      </c>
      <c r="C17" s="21">
        <f>Model!C37</f>
        <v/>
      </c>
      <c r="D17" s="21">
        <f>Model!D37</f>
        <v/>
      </c>
    </row>
    <row r="18">
      <c r="A18" s="4" t="inlineStr">
        <is>
          <t>Of total: from payments (%)</t>
        </is>
      </c>
      <c r="B18" s="22">
        <f>IF(Model!B31=0,0,Model!B29/Model!B31)</f>
        <v/>
      </c>
      <c r="C18" s="22">
        <f>IF(Model!C31=0,0,Model!C29/Model!C31)</f>
        <v/>
      </c>
      <c r="D18" s="22">
        <f>IF(Model!D31=0,0,Model!D29/Model!D31)</f>
        <v/>
      </c>
    </row>
    <row r="20">
      <c r="A20" s="23" t="inlineStr">
        <is>
          <t>Read: Model A earns the most but taxes sales like Square; C earns least but is purest 'we charge for software'. B balances. Watch row 18 — a % markup on six-figure volume can quietly become your biggest line (that's why Toast leans on payments).</t>
        </is>
      </c>
    </row>
    <row r="21"/>
    <row r="22"/>
  </sheetData>
  <mergeCells count="5">
    <mergeCell ref="A12:E12"/>
    <mergeCell ref="A20:E22"/>
    <mergeCell ref="A1:E1"/>
    <mergeCell ref="A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Assumptions, Rate References &amp; Strategy Notes</t>
        </is>
      </c>
    </row>
    <row r="2">
      <c r="A2" s="24" t="inlineStr"/>
    </row>
    <row r="3">
      <c r="A3" s="3" t="inlineStr">
        <is>
          <t>THE COST STACK (every card txn)</t>
        </is>
      </c>
    </row>
    <row r="4">
      <c r="A4" s="24" t="inlineStr">
        <is>
          <t>• Interchange (issuing bank): ~1.5–2.2% + ~$0.10 card-present. Non-negotiable.</t>
        </is>
      </c>
    </row>
    <row r="5">
      <c r="A5" s="24" t="inlineStr">
        <is>
          <t>• Network assessments (Visa/MC): ~0.13–0.14%. Non-negotiable.</t>
        </is>
      </c>
    </row>
    <row r="6">
      <c r="A6" s="24" t="inlineStr">
        <is>
          <t>• Processor / payfac markup: the only negotiable layer. Interchange (~2.0–2.3% all-in) is the floor nobody beats.</t>
        </is>
      </c>
    </row>
    <row r="7">
      <c r="A7" s="24" t="inlineStr"/>
    </row>
    <row r="8">
      <c r="A8" s="3" t="inlineStr">
        <is>
          <t>MARKET REFERENCE RATES (merchant-facing, card-present)</t>
        </is>
      </c>
    </row>
    <row r="9">
      <c r="A9" s="24" t="inlineStr">
        <is>
          <t>• Square: 2.6% + $0.15 in-person; 2.9% + $0.30 online.</t>
        </is>
      </c>
    </row>
    <row r="10">
      <c r="A10" s="24" t="inlineStr">
        <is>
          <t>• Stripe: Terminal ~2.7% + $0.05 card-present; 2.9% + $0.30 online.</t>
        </is>
      </c>
    </row>
    <row r="11">
      <c r="A11" s="24" t="inlineStr">
        <is>
          <t>• Toast: custom; ~2.49–2.99% + $0.15; offers interchange-plus to larger merchants.</t>
        </is>
      </c>
    </row>
    <row r="12">
      <c r="A12" s="9" t="inlineStr">
        <is>
          <t>Source: public published rates, 2024–2025; rates move — treat as order-of-magnitude.</t>
        </is>
      </c>
    </row>
    <row r="13">
      <c r="A13" s="24" t="inlineStr"/>
    </row>
    <row r="14">
      <c r="A14" s="3" t="inlineStr">
        <is>
          <t>YOUR COST BASIS (Model sheet, yellow cells)</t>
        </is>
      </c>
    </row>
    <row r="15">
      <c r="A15" s="24" t="inlineStr">
        <is>
          <t>• Default 2.10% + $0.08 = interchange-plus via a payfac at modest volume.</t>
        </is>
      </c>
    </row>
    <row r="16">
      <c r="A16" s="24" t="inlineStr">
        <is>
          <t>• IMPORTANT: on vanilla Stripe flat (~2.7% + $0.05) you cannot price below Square AND make margin.</t>
        </is>
      </c>
    </row>
    <row r="17">
      <c r="A17" s="24" t="inlineStr">
        <is>
          <t xml:space="preserve">  The 'we save you money on processing' story only works once you're on true interchange-plus pricing.</t>
        </is>
      </c>
    </row>
    <row r="18">
      <c r="A18" s="24" t="inlineStr"/>
    </row>
    <row r="19">
      <c r="A19" s="3" t="inlineStr">
        <is>
          <t>THE STRATEGIC TRADE-OFF (why three models)</t>
        </is>
      </c>
    </row>
    <row r="20">
      <c r="A20" s="24" t="inlineStr">
        <is>
          <t>• Model A (flat %): you behave like Square/Toast — highest revenue, but you 'tax' the operator's sales. Off-brand.</t>
        </is>
      </c>
    </row>
    <row r="21">
      <c r="A21" s="24" t="inlineStr">
        <is>
          <t>• Model B (interchange-plus, thin markup): fair + transparent, still beats Square, modest payments margin.</t>
        </is>
      </c>
    </row>
    <row r="22">
      <c r="A22" s="24" t="inlineStr">
        <is>
          <t>• Model C (membership): process at cost, earn on a higher SaaS tier. Best merchant deal, cleanest narrative,</t>
        </is>
      </c>
    </row>
    <row r="23">
      <c r="A23" s="24" t="inlineStr">
        <is>
          <t xml:space="preserve">  lowest payments revenue. This is the purest expression of 'we charge for the brain, not your sales.'</t>
        </is>
      </c>
    </row>
    <row r="24">
      <c r="A24" s="24" t="inlineStr">
        <is>
          <t>• Watch 'Fleet &amp; Scaling' row 18: a 'thin' % markup on six-figure monthly volume can exceed your SaaS line.</t>
        </is>
      </c>
    </row>
    <row r="25">
      <c r="A25" s="24" t="inlineStr">
        <is>
          <t xml:space="preserve">  That's exactly why Toast leans on payments — decide deliberately whether you want to.</t>
        </is>
      </c>
    </row>
    <row r="26">
      <c r="A26" s="24" t="inlineStr"/>
    </row>
    <row r="27">
      <c r="A27" s="3" t="inlineStr">
        <is>
          <t>RECOMMENDATION</t>
        </is>
      </c>
    </row>
    <row r="28">
      <c r="A28" s="24" t="inlineStr">
        <is>
          <t>Lead with Model B or C. Price payments to be non-objectionable (fair/transparent), not to be the hero.</t>
        </is>
      </c>
    </row>
    <row r="29">
      <c r="A29" s="24" t="inlineStr">
        <is>
          <t>Veraya's margin should come from the platform + Vera. Use the $150-check math (Model sheet, row 45) in the pitch.</t>
        </is>
      </c>
    </row>
    <row r="30">
      <c r="A30" s="24" t="inlineStr"/>
    </row>
    <row r="31">
      <c r="A31" s="3" t="inlineStr">
        <is>
          <t>CAVEATS</t>
        </is>
      </c>
    </row>
    <row r="32">
      <c r="A32" s="24" t="inlineStr">
        <is>
          <t>• Payments margin carries chargeback/settlement/PCI-light obligations — riding Stripe/payfac keeps most of that off you.</t>
        </is>
      </c>
    </row>
    <row r="33">
      <c r="A33" s="24" t="inlineStr">
        <is>
          <t>• You will always have a processor relationship (the one unavoidable outside dependency); it's paid as a % of txns, not upfront.</t>
        </is>
      </c>
    </row>
    <row r="34">
      <c r="A34" s="24" t="inlineStr">
        <is>
          <t>• Excludes: hardware, chargeback losses, support cost per account, taxes. This models revenue/contribution, not full P&amp;L.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2026-06-03T02:43:54Z</dcterms:created>
  <dcterms:modified xsi:type="dcterms:W3CDTF">2026-06-03T02:43:54Z</dcterms:modified>
</cp:coreProperties>
</file>